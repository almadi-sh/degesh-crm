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cuments\Codex\2026-07-03\gth\outputs\"/>
    </mc:Choice>
  </mc:AlternateContent>
  <xr:revisionPtr revIDLastSave="0" documentId="13_ncr:1_{19E7C4C8-E1E3-44F6-A4FC-E82929955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останай" sheetId="2" r:id="rId1"/>
    <sheet name="Павлодар" sheetId="3" r:id="rId2"/>
    <sheet name="Кокшетау" sheetId="4" r:id="rId3"/>
    <sheet name="Державинск" sheetId="5" r:id="rId4"/>
    <sheet name="Петропавловск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5" l="1"/>
  <c r="C12" i="5"/>
</calcChain>
</file>

<file path=xl/sharedStrings.xml><?xml version="1.0" encoding="utf-8"?>
<sst xmlns="http://schemas.openxmlformats.org/spreadsheetml/2006/main" count="314" uniqueCount="149">
  <si>
    <t>Склад</t>
  </si>
  <si>
    <t>Примечание</t>
  </si>
  <si>
    <t>Остатки: Костанай</t>
  </si>
  <si>
    <t>№</t>
  </si>
  <si>
    <t>Наименование</t>
  </si>
  <si>
    <t>Остаток</t>
  </si>
  <si>
    <t>Ед. изм.</t>
  </si>
  <si>
    <t>Как в источнике</t>
  </si>
  <si>
    <t>ЕС Бор</t>
  </si>
  <si>
    <t>л</t>
  </si>
  <si>
    <t>300л.</t>
  </si>
  <si>
    <t>Дикошанс</t>
  </si>
  <si>
    <t>1020л.</t>
  </si>
  <si>
    <t>Гриал М.</t>
  </si>
  <si>
    <t>6940л.</t>
  </si>
  <si>
    <t>Гриал</t>
  </si>
  <si>
    <t>6620л.</t>
  </si>
  <si>
    <t>Тиазоксис</t>
  </si>
  <si>
    <t>кг</t>
  </si>
  <si>
    <t>151,9кг.</t>
  </si>
  <si>
    <t>ПШ Пауер</t>
  </si>
  <si>
    <t>189л.</t>
  </si>
  <si>
    <t>Силтек</t>
  </si>
  <si>
    <t>135л.</t>
  </si>
  <si>
    <t>Пришанс</t>
  </si>
  <si>
    <t>120л.</t>
  </si>
  <si>
    <t>Биолип</t>
  </si>
  <si>
    <t>1900л.</t>
  </si>
  <si>
    <t>Спринт</t>
  </si>
  <si>
    <t>360л.</t>
  </si>
  <si>
    <t>Талгам</t>
  </si>
  <si>
    <t>90л.</t>
  </si>
  <si>
    <t>Интеграл</t>
  </si>
  <si>
    <t>610л.</t>
  </si>
  <si>
    <t>ХардОфф</t>
  </si>
  <si>
    <t>20л.</t>
  </si>
  <si>
    <t>Премьер Микс</t>
  </si>
  <si>
    <t>295л.</t>
  </si>
  <si>
    <t>Хитон</t>
  </si>
  <si>
    <t>520л.</t>
  </si>
  <si>
    <t>Бомбардир</t>
  </si>
  <si>
    <t>195л.</t>
  </si>
  <si>
    <t>Спирит Форте</t>
  </si>
  <si>
    <t>15кг.</t>
  </si>
  <si>
    <t>Остатки: Павлодар</t>
  </si>
  <si>
    <t>Ардглиф</t>
  </si>
  <si>
    <t>Кругозор</t>
  </si>
  <si>
    <t>Аминомакс</t>
  </si>
  <si>
    <t>Тимспрей</t>
  </si>
  <si>
    <t>Громстор</t>
  </si>
  <si>
    <t>Шанстар</t>
  </si>
  <si>
    <t>Инсектор</t>
  </si>
  <si>
    <t>Драгун</t>
  </si>
  <si>
    <t>Пенасил</t>
  </si>
  <si>
    <t>Семена Айсан</t>
  </si>
  <si>
    <t>Семена Центавр</t>
  </si>
  <si>
    <t>Каратошанс</t>
  </si>
  <si>
    <t>Мощь</t>
  </si>
  <si>
    <t>Фокстрот Экстра</t>
  </si>
  <si>
    <t>Пантера</t>
  </si>
  <si>
    <t>Имазошанс</t>
  </si>
  <si>
    <t>Фасшанс</t>
  </si>
  <si>
    <t>Нанкина</t>
  </si>
  <si>
    <t>Остатки: Кокшетау</t>
  </si>
  <si>
    <t>Артикул</t>
  </si>
  <si>
    <t>Номенклатура</t>
  </si>
  <si>
    <t>Конечный остаток</t>
  </si>
  <si>
    <t>Тенгиз - Дегеш</t>
  </si>
  <si>
    <t>Самурык</t>
  </si>
  <si>
    <t>л (дм3)</t>
  </si>
  <si>
    <t>ES Biolip</t>
  </si>
  <si>
    <t>ES clubenator</t>
  </si>
  <si>
    <t>Актив-Т</t>
  </si>
  <si>
    <t>АрдГлиф в.р.(глифосат 560)</t>
  </si>
  <si>
    <t>Беташанс</t>
  </si>
  <si>
    <t>биофикс</t>
  </si>
  <si>
    <t>Гаваи плюс</t>
  </si>
  <si>
    <t>Гезагард</t>
  </si>
  <si>
    <t>Гелифас</t>
  </si>
  <si>
    <t>Громстор ВДГ</t>
  </si>
  <si>
    <t>Диома</t>
  </si>
  <si>
    <t>Еврошанс</t>
  </si>
  <si>
    <t>Кловит, к.э.</t>
  </si>
  <si>
    <t>Король 400</t>
  </si>
  <si>
    <t>корсар</t>
  </si>
  <si>
    <t>кунгфу</t>
  </si>
  <si>
    <t>Микроудобрение ES Bor</t>
  </si>
  <si>
    <t>Подсолнечник, гибрид Р63LE10/П83ЛЕ10 п.е.150 000 семян, обработаны фунгицидами и инсектицидом</t>
  </si>
  <si>
    <t>п.е.</t>
  </si>
  <si>
    <t>Премьер Микс, к.с.</t>
  </si>
  <si>
    <t>Пропишанс супер</t>
  </si>
  <si>
    <t>Раптора</t>
  </si>
  <si>
    <t>Рейнвел</t>
  </si>
  <si>
    <t>Сармат экстра в.р.</t>
  </si>
  <si>
    <t>Семена подсолнечника Белуха</t>
  </si>
  <si>
    <t>Семена рапса CEBRA CL</t>
  </si>
  <si>
    <t>Семена рапса CHIP CL</t>
  </si>
  <si>
    <t>Семена рапса LEXUS</t>
  </si>
  <si>
    <t>Семена рапса гибрид cly</t>
  </si>
  <si>
    <t>семена рапса Меркуль</t>
  </si>
  <si>
    <t>Сильюшанс</t>
  </si>
  <si>
    <t>Снайпер</t>
  </si>
  <si>
    <t>Сункар</t>
  </si>
  <si>
    <t>супермет экстра</t>
  </si>
  <si>
    <t>Тебаз про</t>
  </si>
  <si>
    <t>Триактив</t>
  </si>
  <si>
    <t>Триходерма</t>
  </si>
  <si>
    <t>Удобрение AminoMax</t>
  </si>
  <si>
    <t>Циперфос-Д</t>
  </si>
  <si>
    <t>шансил ультра</t>
  </si>
  <si>
    <t>Шансометокс трио</t>
  </si>
  <si>
    <t>Шанстар плюс</t>
  </si>
  <si>
    <t>Шансти</t>
  </si>
  <si>
    <t>Эверест</t>
  </si>
  <si>
    <t>Остатки: Державинск</t>
  </si>
  <si>
    <t>Шансюген</t>
  </si>
  <si>
    <t>Пропишанс универса</t>
  </si>
  <si>
    <t>Биограно</t>
  </si>
  <si>
    <t>Гедеон</t>
  </si>
  <si>
    <t>Грейдер</t>
  </si>
  <si>
    <t>трибин</t>
  </si>
  <si>
    <t>Мустанг</t>
  </si>
  <si>
    <t>самурык</t>
  </si>
  <si>
    <t>Имидор</t>
  </si>
  <si>
    <t>Бор</t>
  </si>
  <si>
    <t>Парадеус</t>
  </si>
  <si>
    <t>Супермет</t>
  </si>
  <si>
    <t>Амино макс</t>
  </si>
  <si>
    <t>виват</t>
  </si>
  <si>
    <t>Кунг фу</t>
  </si>
  <si>
    <t>Сармат</t>
  </si>
  <si>
    <t>Остатки: Петропавловск</t>
  </si>
  <si>
    <t>ES Bor</t>
  </si>
  <si>
    <t>Белт</t>
  </si>
  <si>
    <t>Зенкошанс</t>
  </si>
  <si>
    <t>Кюрри (семена рапса)</t>
  </si>
  <si>
    <t>секатор</t>
  </si>
  <si>
    <t>Мустер</t>
  </si>
  <si>
    <t>Стэйт</t>
  </si>
  <si>
    <t>Сункар 400</t>
  </si>
  <si>
    <t>Фипрон</t>
  </si>
  <si>
    <t>Шанстрел 300</t>
  </si>
  <si>
    <t>Кунг Фу</t>
  </si>
  <si>
    <t>Супермет экстра</t>
  </si>
  <si>
    <t>Ластрол</t>
  </si>
  <si>
    <t>Циперфос</t>
  </si>
  <si>
    <t>Ратана</t>
  </si>
  <si>
    <t>Авестар грант</t>
  </si>
  <si>
    <t>биолип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</si>
</sst>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4">
    <font>
      <sz val="11"/>
      <name val="Carlito"/>
    </font>
    <font>
      <b/>
      <sz val="14"/>
      <color rgb="FFFFFFFF"/>
      <name val="Carlito"/>
    </font>
    <font>
      <b/>
      <sz val="11"/>
      <color rgb="FF17324D"/>
      <name val="Carlito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11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 style="thin">
        <color rgb="FFD7DEE8"/>
      </right>
      <top/>
      <bottom style="thin">
        <color rgb="FFD7DEE8"/>
      </bottom>
      <diagonal/>
    </border>
    <border>
      <left style="thin">
        <color rgb="FFD7DEE8"/>
      </left>
      <right style="thin">
        <color rgb="FFD7DEE8"/>
      </right>
      <top/>
      <bottom style="thin">
        <color rgb="FFD7DEE8"/>
      </bottom>
      <diagonal/>
    </border>
    <border>
      <left style="thin">
        <color rgb="FFD7DEE8"/>
      </left>
      <right/>
      <top/>
      <bottom style="thin">
        <color rgb="FFD7DEE8"/>
      </bottom>
      <diagonal/>
    </border>
    <border>
      <left/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  <border>
      <left style="thin">
        <color rgb="FFD7DEE8"/>
      </left>
      <right/>
      <top style="thin">
        <color rgb="FFD7DEE8"/>
      </top>
      <bottom style="thin">
        <color rgb="FFD7DEE8"/>
      </bottom>
      <diagonal/>
    </border>
    <border>
      <left/>
      <right style="thin">
        <color rgb="FFD7DEE8"/>
      </right>
      <top style="thin">
        <color rgb="FFD7DEE8"/>
      </top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/>
      <diagonal/>
    </border>
    <border>
      <left style="thin">
        <color rgb="FFD7DEE8"/>
      </left>
      <right/>
      <top style="thin">
        <color rgb="FFD7DEE8"/>
      </top>
      <bottom/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2" fillId="3" borderId="1" xfId="1" applyFont="1" applyFill="1" applyBorder="1" applyAlignment="1">
      <alignment wrapText="1"/>
    </xf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0" fillId="0" borderId="10" xfId="1" applyFont="1" applyBorder="1" applyAlignment="1">
      <alignment wrapText="1"/>
    </xf>
    <xf numFmtId="0" fontId="0" fillId="0" borderId="2" xfId="1" applyFont="1" applyBorder="1" applyAlignment="1">
      <alignment horizontal="center" wrapText="1"/>
    </xf>
    <xf numFmtId="0" fontId="0" fillId="0" borderId="5" xfId="1" applyFont="1" applyBorder="1" applyAlignment="1">
      <alignment horizontal="center" wrapText="1"/>
    </xf>
    <xf numFmtId="0" fontId="0" fillId="0" borderId="8" xfId="1" applyFont="1" applyBorder="1" applyAlignment="1">
      <alignment horizontal="center" wrapText="1"/>
    </xf>
    <xf numFmtId="0" fontId="0" fillId="0" borderId="3" xfId="1" applyFont="1" applyBorder="1" applyAlignment="1">
      <alignment horizontal="right" wrapText="1"/>
    </xf>
    <xf numFmtId="0" fontId="0" fillId="0" borderId="6" xfId="1" applyFont="1" applyBorder="1" applyAlignment="1">
      <alignment horizontal="right" wrapText="1"/>
    </xf>
    <xf numFmtId="0" fontId="0" fillId="0" borderId="9" xfId="1" applyFont="1" applyBorder="1" applyAlignment="1">
      <alignment horizontal="right" wrapText="1"/>
    </xf>
    <xf numFmtId="0" fontId="0" fillId="0" borderId="0" xfId="1" applyFont="1" applyAlignment="1">
      <alignment horizontal="right"/>
    </xf>
    <xf numFmtId="0" fontId="0" fillId="0" borderId="3" xfId="1" applyFont="1" applyBorder="1" applyAlignment="1">
      <alignment horizontal="center" wrapText="1"/>
    </xf>
    <xf numFmtId="0" fontId="0" fillId="0" borderId="6" xfId="1" applyFont="1" applyBorder="1" applyAlignment="1">
      <alignment horizontal="center" wrapText="1"/>
    </xf>
    <xf numFmtId="0" fontId="0" fillId="0" borderId="9" xfId="1" applyFont="1" applyBorder="1" applyAlignment="1">
      <alignment horizontal="center" wrapText="1"/>
    </xf>
    <xf numFmtId="164" fontId="0" fillId="0" borderId="4" xfId="1" applyNumberFormat="1" applyFont="1" applyBorder="1" applyAlignment="1">
      <alignment horizontal="right" wrapText="1"/>
    </xf>
    <xf numFmtId="164" fontId="0" fillId="0" borderId="7" xfId="1" applyNumberFormat="1" applyFont="1" applyBorder="1" applyAlignment="1">
      <alignment horizontal="right" wrapText="1"/>
    </xf>
    <xf numFmtId="164" fontId="0" fillId="0" borderId="10" xfId="1" applyNumberFormat="1" applyFont="1" applyBorder="1" applyAlignment="1">
      <alignment horizontal="right" wrapText="1"/>
    </xf>
    <xf numFmtId="164" fontId="0" fillId="0" borderId="0" xfId="1" applyNumberFormat="1" applyFont="1" applyAlignment="1">
      <alignment horizontal="right"/>
    </xf>
    <xf numFmtId="0" fontId="1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Kostanay" displayName="TblKostanay" ref="A2:F19" totalsRowShown="0">
  <tableColumns count="6">
    <tableColumn id="1" xr3:uid="{00000000-0010-0000-0100-000001000000}" name="№"/>
    <tableColumn id="2" xr3:uid="{00000000-0010-0000-0100-000002000000}" name="Наименование"/>
    <tableColumn id="3" xr3:uid="{00000000-0010-0000-0100-000003000000}" name="Остаток"/>
    <tableColumn id="4" xr3:uid="{00000000-0010-0000-0100-000004000000}" name="Ед. изм."/>
    <tableColumn id="5" xr3:uid="{00000000-0010-0000-0100-000005000000}" name="Как в источнике"/>
    <tableColumn id="6" xr3:uid="{00000000-0010-0000-0100-000006000000}" name="Примеча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Pavlodar" displayName="TblPavlodar" ref="A2:D21" totalsRowShown="0">
  <tableColumns count="4">
    <tableColumn id="1" xr3:uid="{00000000-0010-0000-0200-000001000000}" name="№"/>
    <tableColumn id="2" xr3:uid="{00000000-0010-0000-0200-000002000000}" name="Наименование"/>
    <tableColumn id="3" xr3:uid="{00000000-0010-0000-0200-000003000000}" name="Остаток"/>
    <tableColumn id="4" xr3:uid="{00000000-0010-0000-0200-000004000000}" name="Ед. изм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Kokshetau" displayName="TblKokshetau" ref="A2:E54" totalsRowShown="0">
  <tableColumns count="5">
    <tableColumn id="1" xr3:uid="{00000000-0010-0000-0300-000001000000}" name="Склад"/>
    <tableColumn id="2" xr3:uid="{00000000-0010-0000-0300-000002000000}" name="Артикул"/>
    <tableColumn id="3" xr3:uid="{00000000-0010-0000-0300-000003000000}" name="Номенклатура"/>
    <tableColumn id="4" xr3:uid="{00000000-0010-0000-0300-000004000000}" name="Ед. изм."/>
    <tableColumn id="8" xr3:uid="{00000000-0010-0000-0300-000008000000}" name="Конечный остато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Derzhavinsk" displayName="TblDerzhavinsk" ref="A2:D32" totalsRowShown="0">
  <tableColumns count="4">
    <tableColumn id="1" xr3:uid="{00000000-0010-0000-0400-000001000000}" name="№"/>
    <tableColumn id="2" xr3:uid="{00000000-0010-0000-0400-000002000000}" name="Наименование"/>
    <tableColumn id="3" xr3:uid="{00000000-0010-0000-0400-000003000000}" name="Остаток"/>
    <tableColumn id="4" xr3:uid="{00000000-0010-0000-0400-000004000000}" name="Ед. изм.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Petropavlovsk" displayName="TblPetropavlovsk" ref="A2:D32" totalsRowShown="0">
  <tableColumns count="4">
    <tableColumn id="1" xr3:uid="{00000000-0010-0000-0500-000001000000}" name="№"/>
    <tableColumn id="2" xr3:uid="{00000000-0010-0000-0500-000002000000}" name="Наименование"/>
    <tableColumn id="3" xr3:uid="{00000000-0010-0000-0500-000003000000}" name="Остаток"/>
    <tableColumn id="4" xr3:uid="{00000000-0010-0000-0500-000004000000}" name="Ед. изм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showGridLines="0" tabSelected="1" workbookViewId="0">
      <selection activeCell="E15" sqref="E15"/>
    </sheetView>
  </sheetViews>
  <sheetFormatPr defaultRowHeight="14.25"/>
  <cols>
    <col min="1" max="1" width="6" customWidth="1"/>
    <col min="2" max="2" width="30" customWidth="1"/>
    <col min="3" max="3" width="14" customWidth="1"/>
    <col min="4" max="4" width="10" customWidth="1"/>
    <col min="5" max="5" width="18" customWidth="1"/>
    <col min="6" max="6" width="48" customWidth="1"/>
  </cols>
  <sheetData>
    <row r="1" spans="1:6" ht="18">
      <c r="A1" s="25" t="s">
        <v>2</v>
      </c>
      <c r="B1" s="25"/>
      <c r="C1" s="25"/>
      <c r="D1" s="25"/>
      <c r="E1" s="25"/>
      <c r="F1" s="25"/>
    </row>
    <row r="2" spans="1:6" ht="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1</v>
      </c>
    </row>
    <row r="3" spans="1:6">
      <c r="A3" s="11">
        <v>1</v>
      </c>
      <c r="B3" s="3" t="s">
        <v>8</v>
      </c>
      <c r="C3" s="14">
        <v>300</v>
      </c>
      <c r="D3" s="18" t="s">
        <v>9</v>
      </c>
      <c r="E3" s="3" t="s">
        <v>10</v>
      </c>
      <c r="F3" s="4"/>
    </row>
    <row r="4" spans="1:6">
      <c r="A4" s="12">
        <v>2</v>
      </c>
      <c r="B4" s="6" t="s">
        <v>11</v>
      </c>
      <c r="C4" s="15">
        <v>1020</v>
      </c>
      <c r="D4" s="19" t="s">
        <v>9</v>
      </c>
      <c r="E4" s="6" t="s">
        <v>12</v>
      </c>
      <c r="F4" s="7"/>
    </row>
    <row r="5" spans="1:6">
      <c r="A5" s="12">
        <v>3</v>
      </c>
      <c r="B5" s="6" t="s">
        <v>13</v>
      </c>
      <c r="C5" s="15">
        <v>6940</v>
      </c>
      <c r="D5" s="19" t="s">
        <v>9</v>
      </c>
      <c r="E5" s="6" t="s">
        <v>14</v>
      </c>
      <c r="F5" s="7"/>
    </row>
    <row r="6" spans="1:6">
      <c r="A6" s="12">
        <v>4</v>
      </c>
      <c r="B6" s="6" t="s">
        <v>15</v>
      </c>
      <c r="C6" s="15">
        <v>6620</v>
      </c>
      <c r="D6" s="19" t="s">
        <v>9</v>
      </c>
      <c r="E6" s="6" t="s">
        <v>16</v>
      </c>
      <c r="F6" s="7"/>
    </row>
    <row r="7" spans="1:6">
      <c r="A7" s="12">
        <v>5</v>
      </c>
      <c r="B7" s="6" t="s">
        <v>17</v>
      </c>
      <c r="C7" s="15">
        <v>151.9</v>
      </c>
      <c r="D7" s="19" t="s">
        <v>18</v>
      </c>
      <c r="E7" s="6" t="s">
        <v>19</v>
      </c>
      <c r="F7" s="7"/>
    </row>
    <row r="8" spans="1:6">
      <c r="A8" s="12">
        <v>6</v>
      </c>
      <c r="B8" s="6" t="s">
        <v>20</v>
      </c>
      <c r="C8" s="15">
        <v>189</v>
      </c>
      <c r="D8" s="19" t="s">
        <v>9</v>
      </c>
      <c r="E8" s="6" t="s">
        <v>21</v>
      </c>
      <c r="F8" s="7"/>
    </row>
    <row r="9" spans="1:6">
      <c r="A9" s="12">
        <v>7</v>
      </c>
      <c r="B9" s="6" t="s">
        <v>22</v>
      </c>
      <c r="C9" s="15">
        <v>135</v>
      </c>
      <c r="D9" s="19" t="s">
        <v>9</v>
      </c>
      <c r="E9" s="6" t="s">
        <v>23</v>
      </c>
      <c r="F9" s="7"/>
    </row>
    <row r="10" spans="1:6">
      <c r="A10" s="12">
        <v>8</v>
      </c>
      <c r="B10" s="6" t="s">
        <v>24</v>
      </c>
      <c r="C10" s="15">
        <v>120</v>
      </c>
      <c r="D10" s="19" t="s">
        <v>9</v>
      </c>
      <c r="E10" s="6" t="s">
        <v>25</v>
      </c>
      <c r="F10" s="7"/>
    </row>
    <row r="11" spans="1:6">
      <c r="A11" s="12">
        <v>9</v>
      </c>
      <c r="B11" s="6" t="s">
        <v>26</v>
      </c>
      <c r="C11" s="15">
        <v>1900</v>
      </c>
      <c r="D11" s="19" t="s">
        <v>9</v>
      </c>
      <c r="E11" s="6" t="s">
        <v>27</v>
      </c>
      <c r="F11" s="7"/>
    </row>
    <row r="12" spans="1:6">
      <c r="A12" s="12">
        <v>10</v>
      </c>
      <c r="B12" s="6" t="s">
        <v>28</v>
      </c>
      <c r="C12" s="15">
        <v>360</v>
      </c>
      <c r="D12" s="19" t="s">
        <v>9</v>
      </c>
      <c r="E12" s="6" t="s">
        <v>29</v>
      </c>
      <c r="F12" s="7"/>
    </row>
    <row r="13" spans="1:6">
      <c r="A13" s="12">
        <v>11</v>
      </c>
      <c r="B13" s="6" t="s">
        <v>30</v>
      </c>
      <c r="C13" s="15">
        <v>90</v>
      </c>
      <c r="D13" s="19" t="s">
        <v>9</v>
      </c>
      <c r="E13" s="6" t="s">
        <v>31</v>
      </c>
      <c r="F13" s="7"/>
    </row>
    <row r="14" spans="1:6">
      <c r="A14" s="12">
        <v>12</v>
      </c>
      <c r="B14" s="6" t="s">
        <v>32</v>
      </c>
      <c r="C14" s="15">
        <v>610</v>
      </c>
      <c r="D14" s="19" t="s">
        <v>9</v>
      </c>
      <c r="E14" s="6" t="s">
        <v>33</v>
      </c>
      <c r="F14" s="7"/>
    </row>
    <row r="15" spans="1:6">
      <c r="A15" s="12">
        <v>13</v>
      </c>
      <c r="B15" s="6" t="s">
        <v>34</v>
      </c>
      <c r="C15" s="15">
        <v>20</v>
      </c>
      <c r="D15" s="19" t="s">
        <v>9</v>
      </c>
      <c r="E15" s="6" t="s">
        <v>35</v>
      </c>
      <c r="F15" s="7"/>
    </row>
    <row r="16" spans="1:6">
      <c r="A16" s="12">
        <v>14</v>
      </c>
      <c r="B16" s="6" t="s">
        <v>36</v>
      </c>
      <c r="C16" s="15">
        <v>295</v>
      </c>
      <c r="D16" s="19" t="s">
        <v>9</v>
      </c>
      <c r="E16" s="6" t="s">
        <v>37</v>
      </c>
      <c r="F16" s="7"/>
    </row>
    <row r="17" spans="1:6">
      <c r="A17" s="12">
        <v>15</v>
      </c>
      <c r="B17" s="6" t="s">
        <v>38</v>
      </c>
      <c r="C17" s="15">
        <v>520</v>
      </c>
      <c r="D17" s="19" t="s">
        <v>9</v>
      </c>
      <c r="E17" s="6" t="s">
        <v>39</v>
      </c>
      <c r="F17" s="7"/>
    </row>
    <row r="18" spans="1:6">
      <c r="A18" s="12">
        <v>16</v>
      </c>
      <c r="B18" s="6" t="s">
        <v>40</v>
      </c>
      <c r="C18" s="15">
        <v>195</v>
      </c>
      <c r="D18" s="19" t="s">
        <v>9</v>
      </c>
      <c r="E18" s="6" t="s">
        <v>41</v>
      </c>
      <c r="F18" s="7"/>
    </row>
    <row r="19" spans="1:6">
      <c r="A19" s="13">
        <v>17</v>
      </c>
      <c r="B19" s="9" t="s">
        <v>42</v>
      </c>
      <c r="C19" s="16">
        <v>15</v>
      </c>
      <c r="D19" s="20" t="s">
        <v>18</v>
      </c>
      <c r="E19" s="9" t="s">
        <v>43</v>
      </c>
      <c r="F19" s="10"/>
    </row>
    <row r="20" spans="1:6">
      <c r="C20" s="1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showGridLines="0" workbookViewId="0">
      <selection activeCell="A12" sqref="A12:XFD12"/>
    </sheetView>
  </sheetViews>
  <sheetFormatPr defaultRowHeight="14.25"/>
  <cols>
    <col min="1" max="1" width="6" customWidth="1"/>
    <col min="2" max="2" width="30" customWidth="1"/>
    <col min="3" max="3" width="14" customWidth="1"/>
    <col min="4" max="4" width="10" customWidth="1"/>
  </cols>
  <sheetData>
    <row r="1" spans="1:4" ht="18">
      <c r="A1" s="25" t="s">
        <v>44</v>
      </c>
      <c r="B1" s="25"/>
      <c r="C1" s="25"/>
      <c r="D1" s="25"/>
    </row>
    <row r="2" spans="1:4" ht="15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1">
        <v>1</v>
      </c>
      <c r="B3" s="3" t="s">
        <v>45</v>
      </c>
      <c r="C3" s="14">
        <v>1980</v>
      </c>
      <c r="D3" s="18"/>
    </row>
    <row r="4" spans="1:4">
      <c r="A4" s="12">
        <v>2</v>
      </c>
      <c r="B4" s="6" t="s">
        <v>26</v>
      </c>
      <c r="C4" s="15">
        <v>1260</v>
      </c>
      <c r="D4" s="19"/>
    </row>
    <row r="5" spans="1:4">
      <c r="A5" s="12">
        <v>3</v>
      </c>
      <c r="B5" s="6" t="s">
        <v>46</v>
      </c>
      <c r="C5" s="15">
        <v>30</v>
      </c>
      <c r="D5" s="19"/>
    </row>
    <row r="6" spans="1:4">
      <c r="A6" s="12">
        <v>4</v>
      </c>
      <c r="B6" s="6" t="s">
        <v>47</v>
      </c>
      <c r="C6" s="15">
        <v>1240</v>
      </c>
      <c r="D6" s="19"/>
    </row>
    <row r="7" spans="1:4">
      <c r="A7" s="12">
        <v>5</v>
      </c>
      <c r="B7" s="6" t="s">
        <v>48</v>
      </c>
      <c r="C7" s="15">
        <v>1490</v>
      </c>
      <c r="D7" s="19"/>
    </row>
    <row r="8" spans="1:4">
      <c r="A8" s="12">
        <v>6</v>
      </c>
      <c r="B8" s="6" t="s">
        <v>49</v>
      </c>
      <c r="C8" s="15">
        <v>143.5</v>
      </c>
      <c r="D8" s="19"/>
    </row>
    <row r="9" spans="1:4">
      <c r="A9" s="12">
        <v>7</v>
      </c>
      <c r="B9" s="6" t="s">
        <v>50</v>
      </c>
      <c r="C9" s="15">
        <v>12</v>
      </c>
      <c r="D9" s="19"/>
    </row>
    <row r="10" spans="1:4">
      <c r="A10" s="12">
        <v>8</v>
      </c>
      <c r="B10" s="6" t="s">
        <v>51</v>
      </c>
      <c r="C10" s="15">
        <v>30</v>
      </c>
      <c r="D10" s="19"/>
    </row>
    <row r="11" spans="1:4">
      <c r="A11" s="12">
        <v>9</v>
      </c>
      <c r="B11" s="6" t="s">
        <v>52</v>
      </c>
      <c r="C11" s="15">
        <v>750</v>
      </c>
      <c r="D11" s="19"/>
    </row>
    <row r="12" spans="1:4">
      <c r="A12" s="12">
        <v>11</v>
      </c>
      <c r="B12" s="6" t="s">
        <v>53</v>
      </c>
      <c r="C12" s="15">
        <v>29</v>
      </c>
      <c r="D12" s="19"/>
    </row>
    <row r="13" spans="1:4">
      <c r="A13" s="12">
        <v>12</v>
      </c>
      <c r="B13" s="6" t="s">
        <v>54</v>
      </c>
      <c r="C13" s="15">
        <v>24</v>
      </c>
      <c r="D13" s="19"/>
    </row>
    <row r="14" spans="1:4">
      <c r="A14" s="12">
        <v>13</v>
      </c>
      <c r="B14" s="6" t="s">
        <v>55</v>
      </c>
      <c r="C14" s="15">
        <v>44</v>
      </c>
      <c r="D14" s="19"/>
    </row>
    <row r="15" spans="1:4">
      <c r="A15" s="12">
        <v>14</v>
      </c>
      <c r="B15" s="6" t="s">
        <v>56</v>
      </c>
      <c r="C15" s="15">
        <v>500</v>
      </c>
      <c r="D15" s="19"/>
    </row>
    <row r="16" spans="1:4">
      <c r="A16" s="12">
        <v>16</v>
      </c>
      <c r="B16" s="6" t="s">
        <v>58</v>
      </c>
      <c r="C16" s="15">
        <v>340</v>
      </c>
      <c r="D16" s="19"/>
    </row>
    <row r="17" spans="1:4">
      <c r="A17" s="12">
        <v>17</v>
      </c>
      <c r="B17" s="6" t="s">
        <v>59</v>
      </c>
      <c r="C17" s="15">
        <v>795</v>
      </c>
      <c r="D17" s="19"/>
    </row>
    <row r="18" spans="1:4">
      <c r="A18" s="12">
        <v>18</v>
      </c>
      <c r="B18" s="6" t="s">
        <v>8</v>
      </c>
      <c r="C18" s="15">
        <v>2830</v>
      </c>
      <c r="D18" s="19"/>
    </row>
    <row r="19" spans="1:4">
      <c r="A19" s="12">
        <v>23</v>
      </c>
      <c r="B19" s="6" t="s">
        <v>61</v>
      </c>
      <c r="C19" s="15">
        <v>100</v>
      </c>
      <c r="D19" s="19"/>
    </row>
    <row r="20" spans="1:4">
      <c r="A20" s="12">
        <v>24</v>
      </c>
      <c r="B20" s="6" t="s">
        <v>62</v>
      </c>
      <c r="C20" s="15">
        <v>800</v>
      </c>
      <c r="D20" s="19"/>
    </row>
    <row r="21" spans="1:4">
      <c r="A21" s="12">
        <v>25</v>
      </c>
      <c r="B21" s="6" t="s">
        <v>28</v>
      </c>
      <c r="C21" s="15">
        <v>870</v>
      </c>
      <c r="D21" s="19"/>
    </row>
    <row r="22" spans="1:4">
      <c r="C22" s="1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5"/>
  <sheetViews>
    <sheetView showGridLines="0" workbookViewId="0">
      <selection activeCell="C19" sqref="C19"/>
    </sheetView>
  </sheetViews>
  <sheetFormatPr defaultRowHeight="14.25"/>
  <cols>
    <col min="1" max="1" width="18" customWidth="1"/>
    <col min="2" max="2" width="12" customWidth="1"/>
    <col min="3" max="3" width="62" customWidth="1"/>
    <col min="4" max="4" width="12" customWidth="1"/>
    <col min="5" max="5" width="16" customWidth="1"/>
  </cols>
  <sheetData>
    <row r="1" spans="1:5" ht="18">
      <c r="A1" s="25" t="s">
        <v>63</v>
      </c>
      <c r="B1" s="25"/>
      <c r="C1" s="25"/>
      <c r="D1" s="25"/>
      <c r="E1" s="25"/>
    </row>
    <row r="2" spans="1:5" ht="30">
      <c r="A2" s="1" t="s">
        <v>0</v>
      </c>
      <c r="B2" s="1" t="s">
        <v>64</v>
      </c>
      <c r="C2" s="1" t="s">
        <v>65</v>
      </c>
      <c r="D2" s="1" t="s">
        <v>6</v>
      </c>
      <c r="E2" s="1" t="s">
        <v>66</v>
      </c>
    </row>
    <row r="3" spans="1:5">
      <c r="A3" s="2" t="s">
        <v>67</v>
      </c>
      <c r="B3" s="3"/>
      <c r="C3" s="3" t="s">
        <v>68</v>
      </c>
      <c r="D3" s="18" t="s">
        <v>69</v>
      </c>
      <c r="E3" s="21">
        <v>14400</v>
      </c>
    </row>
    <row r="4" spans="1:5">
      <c r="A4" s="5" t="s">
        <v>67</v>
      </c>
      <c r="B4" s="6"/>
      <c r="C4" s="6" t="s">
        <v>70</v>
      </c>
      <c r="D4" s="19" t="s">
        <v>69</v>
      </c>
      <c r="E4" s="22">
        <v>1560</v>
      </c>
    </row>
    <row r="5" spans="1:5">
      <c r="A5" s="5" t="s">
        <v>67</v>
      </c>
      <c r="B5" s="6"/>
      <c r="C5" s="6" t="s">
        <v>71</v>
      </c>
      <c r="D5" s="19" t="s">
        <v>69</v>
      </c>
      <c r="E5" s="22">
        <v>120</v>
      </c>
    </row>
    <row r="6" spans="1:5">
      <c r="A6" s="5" t="s">
        <v>67</v>
      </c>
      <c r="B6" s="6"/>
      <c r="C6" s="6" t="s">
        <v>72</v>
      </c>
      <c r="D6" s="19" t="s">
        <v>69</v>
      </c>
      <c r="E6" s="22">
        <v>1240</v>
      </c>
    </row>
    <row r="7" spans="1:5">
      <c r="A7" s="5" t="s">
        <v>67</v>
      </c>
      <c r="B7" s="6"/>
      <c r="C7" s="6" t="s">
        <v>73</v>
      </c>
      <c r="D7" s="19" t="s">
        <v>69</v>
      </c>
      <c r="E7" s="22">
        <v>997.25</v>
      </c>
    </row>
    <row r="8" spans="1:5">
      <c r="A8" s="5" t="s">
        <v>67</v>
      </c>
      <c r="B8" s="6"/>
      <c r="C8" s="6" t="s">
        <v>74</v>
      </c>
      <c r="D8" s="19" t="s">
        <v>69</v>
      </c>
      <c r="E8" s="22">
        <v>110</v>
      </c>
    </row>
    <row r="9" spans="1:5">
      <c r="A9" s="5" t="s">
        <v>67</v>
      </c>
      <c r="B9" s="6"/>
      <c r="C9" s="6" t="s">
        <v>75</v>
      </c>
      <c r="D9" s="19" t="s">
        <v>69</v>
      </c>
      <c r="E9" s="22">
        <v>170</v>
      </c>
    </row>
    <row r="10" spans="1:5">
      <c r="A10" s="5" t="s">
        <v>67</v>
      </c>
      <c r="B10" s="6"/>
      <c r="C10" s="6" t="s">
        <v>40</v>
      </c>
      <c r="D10" s="19" t="s">
        <v>69</v>
      </c>
      <c r="E10" s="22">
        <v>105</v>
      </c>
    </row>
    <row r="11" spans="1:5">
      <c r="A11" s="5" t="s">
        <v>67</v>
      </c>
      <c r="B11" s="6"/>
      <c r="C11" s="6" t="s">
        <v>76</v>
      </c>
      <c r="D11" s="19" t="s">
        <v>69</v>
      </c>
      <c r="E11" s="22">
        <v>15</v>
      </c>
    </row>
    <row r="12" spans="1:5">
      <c r="A12" s="5" t="s">
        <v>67</v>
      </c>
      <c r="B12" s="6"/>
      <c r="C12" s="6" t="s">
        <v>77</v>
      </c>
      <c r="D12" s="19" t="s">
        <v>69</v>
      </c>
      <c r="E12" s="22">
        <v>135</v>
      </c>
    </row>
    <row r="13" spans="1:5">
      <c r="A13" s="5" t="s">
        <v>67</v>
      </c>
      <c r="B13" s="6"/>
      <c r="C13" s="6" t="s">
        <v>78</v>
      </c>
      <c r="D13" s="19" t="s">
        <v>69</v>
      </c>
      <c r="E13" s="22">
        <v>100</v>
      </c>
    </row>
    <row r="14" spans="1:5">
      <c r="A14" s="5" t="s">
        <v>67</v>
      </c>
      <c r="B14" s="6"/>
      <c r="C14" s="6" t="s">
        <v>79</v>
      </c>
      <c r="D14" s="19" t="s">
        <v>18</v>
      </c>
      <c r="E14" s="22">
        <v>125.5</v>
      </c>
    </row>
    <row r="15" spans="1:5">
      <c r="A15" s="5" t="s">
        <v>67</v>
      </c>
      <c r="B15" s="6"/>
      <c r="C15" s="6" t="s">
        <v>11</v>
      </c>
      <c r="D15" s="19" t="s">
        <v>69</v>
      </c>
      <c r="E15" s="22">
        <v>17840</v>
      </c>
    </row>
    <row r="16" spans="1:5">
      <c r="A16" s="5" t="s">
        <v>67</v>
      </c>
      <c r="B16" s="6"/>
      <c r="C16" s="6" t="s">
        <v>80</v>
      </c>
      <c r="D16" s="19" t="s">
        <v>69</v>
      </c>
      <c r="E16" s="22">
        <v>7585</v>
      </c>
    </row>
    <row r="17" spans="1:5">
      <c r="A17" s="5" t="s">
        <v>67</v>
      </c>
      <c r="B17" s="6"/>
      <c r="C17" s="6" t="s">
        <v>81</v>
      </c>
      <c r="D17" s="19" t="s">
        <v>69</v>
      </c>
      <c r="E17" s="22">
        <v>21470</v>
      </c>
    </row>
    <row r="18" spans="1:5">
      <c r="A18" s="5" t="s">
        <v>67</v>
      </c>
      <c r="B18" s="6"/>
      <c r="C18" s="6" t="s">
        <v>60</v>
      </c>
      <c r="D18" s="19" t="s">
        <v>69</v>
      </c>
      <c r="E18" s="22">
        <v>970</v>
      </c>
    </row>
    <row r="19" spans="1:5">
      <c r="A19" s="5" t="s">
        <v>67</v>
      </c>
      <c r="B19" s="6"/>
      <c r="C19" s="6" t="s">
        <v>32</v>
      </c>
      <c r="D19" s="19" t="s">
        <v>69</v>
      </c>
      <c r="E19" s="22">
        <v>1335</v>
      </c>
    </row>
    <row r="20" spans="1:5">
      <c r="A20" s="5" t="s">
        <v>67</v>
      </c>
      <c r="B20" s="6"/>
      <c r="C20" s="6" t="s">
        <v>82</v>
      </c>
      <c r="D20" s="19" t="s">
        <v>69</v>
      </c>
      <c r="E20" s="22">
        <v>435</v>
      </c>
    </row>
    <row r="21" spans="1:5">
      <c r="A21" s="5" t="s">
        <v>67</v>
      </c>
      <c r="B21" s="6"/>
      <c r="C21" s="6" t="s">
        <v>83</v>
      </c>
      <c r="D21" s="19" t="s">
        <v>69</v>
      </c>
      <c r="E21" s="22">
        <v>545</v>
      </c>
    </row>
    <row r="22" spans="1:5">
      <c r="A22" s="5" t="s">
        <v>67</v>
      </c>
      <c r="B22" s="6"/>
      <c r="C22" s="6" t="s">
        <v>84</v>
      </c>
      <c r="D22" s="19" t="s">
        <v>69</v>
      </c>
      <c r="E22" s="22">
        <v>320</v>
      </c>
    </row>
    <row r="23" spans="1:5">
      <c r="A23" s="5" t="s">
        <v>67</v>
      </c>
      <c r="B23" s="6"/>
      <c r="C23" s="6" t="s">
        <v>85</v>
      </c>
      <c r="D23" s="19" t="s">
        <v>69</v>
      </c>
      <c r="E23" s="22">
        <v>900</v>
      </c>
    </row>
    <row r="24" spans="1:5">
      <c r="A24" s="5" t="s">
        <v>67</v>
      </c>
      <c r="B24" s="6"/>
      <c r="C24" s="6" t="s">
        <v>86</v>
      </c>
      <c r="D24" s="19" t="s">
        <v>69</v>
      </c>
      <c r="E24" s="22">
        <v>5130</v>
      </c>
    </row>
    <row r="25" spans="1:5">
      <c r="A25" s="5" t="s">
        <v>67</v>
      </c>
      <c r="B25" s="6"/>
      <c r="C25" s="6" t="s">
        <v>57</v>
      </c>
      <c r="D25" s="19" t="s">
        <v>69</v>
      </c>
      <c r="E25" s="22">
        <v>525</v>
      </c>
    </row>
    <row r="26" spans="1:5" ht="28.5">
      <c r="A26" s="5" t="s">
        <v>67</v>
      </c>
      <c r="B26" s="6"/>
      <c r="C26" s="6" t="s">
        <v>87</v>
      </c>
      <c r="D26" s="19" t="s">
        <v>88</v>
      </c>
      <c r="E26" s="22">
        <v>40</v>
      </c>
    </row>
    <row r="27" spans="1:5">
      <c r="A27" s="5" t="s">
        <v>67</v>
      </c>
      <c r="B27" s="6"/>
      <c r="C27" s="6" t="s">
        <v>89</v>
      </c>
      <c r="D27" s="19" t="s">
        <v>69</v>
      </c>
      <c r="E27" s="22">
        <v>290</v>
      </c>
    </row>
    <row r="28" spans="1:5">
      <c r="A28" s="5" t="s">
        <v>67</v>
      </c>
      <c r="B28" s="6"/>
      <c r="C28" s="6" t="s">
        <v>90</v>
      </c>
      <c r="D28" s="19" t="s">
        <v>69</v>
      </c>
      <c r="E28" s="22">
        <v>660</v>
      </c>
    </row>
    <row r="29" spans="1:5">
      <c r="A29" s="5" t="s">
        <v>67</v>
      </c>
      <c r="B29" s="6"/>
      <c r="C29" s="6" t="s">
        <v>91</v>
      </c>
      <c r="D29" s="19" t="s">
        <v>69</v>
      </c>
      <c r="E29" s="22">
        <v>65</v>
      </c>
    </row>
    <row r="30" spans="1:5">
      <c r="A30" s="5" t="s">
        <v>67</v>
      </c>
      <c r="B30" s="6"/>
      <c r="C30" s="6" t="s">
        <v>92</v>
      </c>
      <c r="D30" s="19" t="s">
        <v>69</v>
      </c>
      <c r="E30" s="22">
        <v>200</v>
      </c>
    </row>
    <row r="31" spans="1:5">
      <c r="A31" s="5" t="s">
        <v>67</v>
      </c>
      <c r="B31" s="6"/>
      <c r="C31" s="6" t="s">
        <v>68</v>
      </c>
      <c r="D31" s="19" t="s">
        <v>69</v>
      </c>
      <c r="E31" s="22">
        <v>2285</v>
      </c>
    </row>
    <row r="32" spans="1:5">
      <c r="A32" s="5" t="s">
        <v>67</v>
      </c>
      <c r="B32" s="6"/>
      <c r="C32" s="6" t="s">
        <v>93</v>
      </c>
      <c r="D32" s="19" t="s">
        <v>69</v>
      </c>
      <c r="E32" s="22">
        <v>60</v>
      </c>
    </row>
    <row r="33" spans="1:5">
      <c r="A33" s="5" t="s">
        <v>67</v>
      </c>
      <c r="B33" s="6"/>
      <c r="C33" s="6" t="s">
        <v>94</v>
      </c>
      <c r="D33" s="19" t="s">
        <v>88</v>
      </c>
      <c r="E33" s="22">
        <v>4</v>
      </c>
    </row>
    <row r="34" spans="1:5">
      <c r="A34" s="5" t="s">
        <v>67</v>
      </c>
      <c r="B34" s="6"/>
      <c r="C34" s="6" t="s">
        <v>95</v>
      </c>
      <c r="D34" s="19" t="s">
        <v>88</v>
      </c>
      <c r="E34" s="22">
        <v>71</v>
      </c>
    </row>
    <row r="35" spans="1:5">
      <c r="A35" s="5" t="s">
        <v>67</v>
      </c>
      <c r="B35" s="6"/>
      <c r="C35" s="6" t="s">
        <v>96</v>
      </c>
      <c r="D35" s="19" t="s">
        <v>88</v>
      </c>
      <c r="E35" s="22">
        <v>50</v>
      </c>
    </row>
    <row r="36" spans="1:5">
      <c r="A36" s="5" t="s">
        <v>67</v>
      </c>
      <c r="B36" s="6"/>
      <c r="C36" s="6" t="s">
        <v>97</v>
      </c>
      <c r="D36" s="19" t="s">
        <v>88</v>
      </c>
      <c r="E36" s="22">
        <v>186</v>
      </c>
    </row>
    <row r="37" spans="1:5">
      <c r="A37" s="5" t="s">
        <v>67</v>
      </c>
      <c r="B37" s="6"/>
      <c r="C37" s="6" t="s">
        <v>98</v>
      </c>
      <c r="D37" s="19" t="s">
        <v>88</v>
      </c>
      <c r="E37" s="22">
        <v>250</v>
      </c>
    </row>
    <row r="38" spans="1:5">
      <c r="A38" s="5" t="s">
        <v>67</v>
      </c>
      <c r="B38" s="6"/>
      <c r="C38" s="6" t="s">
        <v>99</v>
      </c>
      <c r="D38" s="19" t="s">
        <v>88</v>
      </c>
      <c r="E38" s="22">
        <v>45</v>
      </c>
    </row>
    <row r="39" spans="1:5">
      <c r="A39" s="5" t="s">
        <v>67</v>
      </c>
      <c r="B39" s="6"/>
      <c r="C39" s="6" t="s">
        <v>100</v>
      </c>
      <c r="D39" s="19" t="s">
        <v>69</v>
      </c>
      <c r="E39" s="22">
        <v>5</v>
      </c>
    </row>
    <row r="40" spans="1:5">
      <c r="A40" s="5" t="s">
        <v>67</v>
      </c>
      <c r="B40" s="6"/>
      <c r="C40" s="6" t="s">
        <v>101</v>
      </c>
      <c r="D40" s="19" t="s">
        <v>18</v>
      </c>
      <c r="E40" s="22">
        <v>0.5</v>
      </c>
    </row>
    <row r="41" spans="1:5">
      <c r="A41" s="5" t="s">
        <v>67</v>
      </c>
      <c r="B41" s="6"/>
      <c r="C41" s="6" t="s">
        <v>102</v>
      </c>
      <c r="D41" s="19" t="s">
        <v>69</v>
      </c>
      <c r="E41" s="22">
        <v>85</v>
      </c>
    </row>
    <row r="42" spans="1:5">
      <c r="A42" s="5" t="s">
        <v>67</v>
      </c>
      <c r="B42" s="6"/>
      <c r="C42" s="6" t="s">
        <v>103</v>
      </c>
      <c r="D42" s="19" t="s">
        <v>18</v>
      </c>
      <c r="E42" s="22">
        <v>778.8</v>
      </c>
    </row>
    <row r="43" spans="1:5">
      <c r="A43" s="5" t="s">
        <v>67</v>
      </c>
      <c r="B43" s="6"/>
      <c r="C43" s="6" t="s">
        <v>104</v>
      </c>
      <c r="D43" s="19" t="s">
        <v>69</v>
      </c>
      <c r="E43" s="22">
        <v>45</v>
      </c>
    </row>
    <row r="44" spans="1:5">
      <c r="A44" s="5" t="s">
        <v>67</v>
      </c>
      <c r="B44" s="6"/>
      <c r="C44" s="6" t="s">
        <v>105</v>
      </c>
      <c r="D44" s="19" t="s">
        <v>69</v>
      </c>
      <c r="E44" s="22">
        <v>2050</v>
      </c>
    </row>
    <row r="45" spans="1:5">
      <c r="A45" s="5" t="s">
        <v>67</v>
      </c>
      <c r="B45" s="6"/>
      <c r="C45" s="6" t="s">
        <v>106</v>
      </c>
      <c r="D45" s="19" t="s">
        <v>69</v>
      </c>
      <c r="E45" s="22">
        <v>20</v>
      </c>
    </row>
    <row r="46" spans="1:5">
      <c r="A46" s="5" t="s">
        <v>67</v>
      </c>
      <c r="B46" s="6"/>
      <c r="C46" s="6" t="s">
        <v>107</v>
      </c>
      <c r="D46" s="19" t="s">
        <v>69</v>
      </c>
      <c r="E46" s="22">
        <v>22570</v>
      </c>
    </row>
    <row r="47" spans="1:5">
      <c r="A47" s="5" t="s">
        <v>67</v>
      </c>
      <c r="B47" s="6"/>
      <c r="C47" s="6" t="s">
        <v>38</v>
      </c>
      <c r="D47" s="19" t="s">
        <v>69</v>
      </c>
      <c r="E47" s="22">
        <v>71170</v>
      </c>
    </row>
    <row r="48" spans="1:5">
      <c r="A48" s="5" t="s">
        <v>67</v>
      </c>
      <c r="B48" s="6"/>
      <c r="C48" s="6" t="s">
        <v>108</v>
      </c>
      <c r="D48" s="19" t="s">
        <v>69</v>
      </c>
      <c r="E48" s="22">
        <v>5905</v>
      </c>
    </row>
    <row r="49" spans="1:5">
      <c r="A49" s="5" t="s">
        <v>67</v>
      </c>
      <c r="B49" s="6"/>
      <c r="C49" s="6" t="s">
        <v>109</v>
      </c>
      <c r="D49" s="19" t="s">
        <v>69</v>
      </c>
      <c r="E49" s="22">
        <v>30</v>
      </c>
    </row>
    <row r="50" spans="1:5">
      <c r="A50" s="5" t="s">
        <v>67</v>
      </c>
      <c r="B50" s="6"/>
      <c r="C50" s="6" t="s">
        <v>110</v>
      </c>
      <c r="D50" s="19" t="s">
        <v>69</v>
      </c>
      <c r="E50" s="22">
        <v>80</v>
      </c>
    </row>
    <row r="51" spans="1:5">
      <c r="A51" s="5" t="s">
        <v>67</v>
      </c>
      <c r="B51" s="6"/>
      <c r="C51" s="6" t="s">
        <v>50</v>
      </c>
      <c r="D51" s="19" t="s">
        <v>18</v>
      </c>
      <c r="E51" s="22">
        <v>68</v>
      </c>
    </row>
    <row r="52" spans="1:5">
      <c r="A52" s="5" t="s">
        <v>67</v>
      </c>
      <c r="B52" s="6"/>
      <c r="C52" s="6" t="s">
        <v>111</v>
      </c>
      <c r="D52" s="19" t="s">
        <v>18</v>
      </c>
      <c r="E52" s="22">
        <v>139.80000000000001</v>
      </c>
    </row>
    <row r="53" spans="1:5">
      <c r="A53" s="5" t="s">
        <v>67</v>
      </c>
      <c r="B53" s="6"/>
      <c r="C53" s="6" t="s">
        <v>112</v>
      </c>
      <c r="D53" s="19" t="s">
        <v>18</v>
      </c>
      <c r="E53" s="22">
        <v>2</v>
      </c>
    </row>
    <row r="54" spans="1:5">
      <c r="A54" s="8" t="s">
        <v>67</v>
      </c>
      <c r="B54" s="9"/>
      <c r="C54" s="9" t="s">
        <v>113</v>
      </c>
      <c r="D54" s="20" t="s">
        <v>18</v>
      </c>
      <c r="E54" s="23">
        <v>648</v>
      </c>
    </row>
    <row r="55" spans="1:5">
      <c r="E55" s="24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"/>
  <sheetViews>
    <sheetView showGridLines="0" workbookViewId="0">
      <selection activeCell="A34" sqref="A34:XFD34"/>
    </sheetView>
  </sheetViews>
  <sheetFormatPr defaultRowHeight="14.25"/>
  <cols>
    <col min="1" max="1" width="6" customWidth="1"/>
    <col min="2" max="2" width="30" customWidth="1"/>
    <col min="3" max="3" width="14" customWidth="1"/>
    <col min="4" max="4" width="10" customWidth="1"/>
  </cols>
  <sheetData>
    <row r="1" spans="1:4" ht="18">
      <c r="A1" s="25" t="s">
        <v>114</v>
      </c>
      <c r="B1" s="25"/>
      <c r="C1" s="25"/>
      <c r="D1" s="25"/>
    </row>
    <row r="2" spans="1:4" ht="15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1">
        <v>1</v>
      </c>
      <c r="B3" s="3" t="s">
        <v>15</v>
      </c>
      <c r="C3" s="14">
        <v>4710</v>
      </c>
      <c r="D3" s="18"/>
    </row>
    <row r="4" spans="1:4">
      <c r="A4" s="12">
        <v>2</v>
      </c>
      <c r="B4" s="6" t="s">
        <v>115</v>
      </c>
      <c r="C4" s="15">
        <v>590</v>
      </c>
      <c r="D4" s="19"/>
    </row>
    <row r="5" spans="1:4">
      <c r="A5" s="12">
        <v>3</v>
      </c>
      <c r="B5" s="6" t="s">
        <v>116</v>
      </c>
      <c r="C5" s="15">
        <v>620</v>
      </c>
      <c r="D5" s="19"/>
    </row>
    <row r="6" spans="1:4">
      <c r="A6" s="12">
        <v>4</v>
      </c>
      <c r="B6" s="6" t="s">
        <v>117</v>
      </c>
      <c r="C6" s="15">
        <v>1500</v>
      </c>
      <c r="D6" s="19"/>
    </row>
    <row r="7" spans="1:4">
      <c r="A7" s="12">
        <v>5</v>
      </c>
      <c r="B7" s="6" t="s">
        <v>118</v>
      </c>
      <c r="C7" s="15">
        <v>115</v>
      </c>
      <c r="D7" s="19"/>
    </row>
    <row r="8" spans="1:4">
      <c r="A8" s="12">
        <v>6</v>
      </c>
      <c r="B8" s="6" t="s">
        <v>40</v>
      </c>
      <c r="C8" s="15">
        <v>200</v>
      </c>
      <c r="D8" s="19"/>
    </row>
    <row r="9" spans="1:4">
      <c r="A9" s="12">
        <v>7</v>
      </c>
      <c r="B9" s="6" t="s">
        <v>119</v>
      </c>
      <c r="C9" s="15">
        <v>50</v>
      </c>
      <c r="D9" s="19"/>
    </row>
    <row r="10" spans="1:4">
      <c r="A10" s="12">
        <v>8</v>
      </c>
      <c r="B10" s="6" t="s">
        <v>51</v>
      </c>
      <c r="C10" s="15">
        <v>70</v>
      </c>
      <c r="D10" s="19"/>
    </row>
    <row r="11" spans="1:4">
      <c r="A11" s="12">
        <v>9</v>
      </c>
      <c r="B11" s="6" t="s">
        <v>56</v>
      </c>
      <c r="C11" s="15">
        <v>130</v>
      </c>
      <c r="D11" s="19"/>
    </row>
    <row r="12" spans="1:4">
      <c r="A12" s="12">
        <v>10</v>
      </c>
      <c r="B12" s="6" t="s">
        <v>49</v>
      </c>
      <c r="C12" s="15">
        <f>12.5+10</f>
        <v>22.5</v>
      </c>
      <c r="D12" s="19"/>
    </row>
    <row r="13" spans="1:4">
      <c r="A13" s="12">
        <v>11</v>
      </c>
      <c r="B13" s="6" t="s">
        <v>120</v>
      </c>
      <c r="C13" s="15">
        <v>14.5</v>
      </c>
      <c r="D13" s="19"/>
    </row>
    <row r="14" spans="1:4">
      <c r="A14" s="12">
        <v>12</v>
      </c>
      <c r="B14" s="6" t="s">
        <v>121</v>
      </c>
      <c r="C14" s="15">
        <v>39</v>
      </c>
      <c r="D14" s="19"/>
    </row>
    <row r="15" spans="1:4">
      <c r="A15" s="12">
        <v>13</v>
      </c>
      <c r="B15" s="6" t="s">
        <v>115</v>
      </c>
      <c r="C15" s="15">
        <v>590</v>
      </c>
      <c r="D15" s="19"/>
    </row>
    <row r="16" spans="1:4">
      <c r="A16" s="12">
        <v>14</v>
      </c>
      <c r="B16" s="6" t="s">
        <v>24</v>
      </c>
      <c r="C16" s="15">
        <v>4950</v>
      </c>
      <c r="D16" s="19"/>
    </row>
    <row r="17" spans="1:4">
      <c r="A17" s="12">
        <v>15</v>
      </c>
      <c r="B17" s="6" t="s">
        <v>122</v>
      </c>
      <c r="C17" s="15">
        <v>5000</v>
      </c>
      <c r="D17" s="19"/>
    </row>
    <row r="18" spans="1:4">
      <c r="A18" s="12">
        <v>16</v>
      </c>
      <c r="B18" s="6" t="s">
        <v>28</v>
      </c>
      <c r="C18" s="15">
        <v>715</v>
      </c>
      <c r="D18" s="19"/>
    </row>
    <row r="19" spans="1:4">
      <c r="A19" s="12">
        <v>17</v>
      </c>
      <c r="B19" s="6" t="s">
        <v>26</v>
      </c>
      <c r="C19" s="15">
        <v>1065</v>
      </c>
      <c r="D19" s="19"/>
    </row>
    <row r="20" spans="1:4">
      <c r="A20" s="12">
        <v>18</v>
      </c>
      <c r="B20" s="6" t="s">
        <v>123</v>
      </c>
      <c r="C20" s="15">
        <v>825</v>
      </c>
      <c r="D20" s="19"/>
    </row>
    <row r="21" spans="1:4">
      <c r="A21" s="12">
        <v>19</v>
      </c>
      <c r="B21" s="6" t="s">
        <v>62</v>
      </c>
      <c r="C21" s="15">
        <v>340</v>
      </c>
      <c r="D21" s="19"/>
    </row>
    <row r="22" spans="1:4">
      <c r="A22" s="12">
        <v>20</v>
      </c>
      <c r="B22" s="6" t="s">
        <v>124</v>
      </c>
      <c r="C22" s="15">
        <v>1500</v>
      </c>
      <c r="D22" s="19"/>
    </row>
    <row r="23" spans="1:4">
      <c r="A23" s="12">
        <v>21</v>
      </c>
      <c r="B23" s="6" t="s">
        <v>113</v>
      </c>
      <c r="C23" s="15">
        <f>196+81</f>
        <v>277</v>
      </c>
      <c r="D23" s="19"/>
    </row>
    <row r="24" spans="1:4">
      <c r="A24" s="12">
        <v>22</v>
      </c>
      <c r="B24" s="6" t="s">
        <v>125</v>
      </c>
      <c r="C24" s="15">
        <v>520</v>
      </c>
      <c r="D24" s="19"/>
    </row>
    <row r="25" spans="1:4">
      <c r="A25" s="12">
        <v>23</v>
      </c>
      <c r="B25" s="6" t="s">
        <v>126</v>
      </c>
      <c r="C25" s="15">
        <v>367</v>
      </c>
      <c r="D25" s="19"/>
    </row>
    <row r="26" spans="1:4">
      <c r="A26" s="12">
        <v>24</v>
      </c>
      <c r="B26" s="6" t="s">
        <v>127</v>
      </c>
      <c r="C26" s="15">
        <v>770</v>
      </c>
      <c r="D26" s="19"/>
    </row>
    <row r="27" spans="1:4">
      <c r="A27" s="12">
        <v>25</v>
      </c>
      <c r="B27" s="6" t="s">
        <v>32</v>
      </c>
      <c r="C27" s="15">
        <v>685</v>
      </c>
      <c r="D27" s="19"/>
    </row>
    <row r="28" spans="1:4">
      <c r="A28" s="12">
        <v>26</v>
      </c>
      <c r="B28" s="6" t="s">
        <v>57</v>
      </c>
      <c r="C28" s="15">
        <v>1480</v>
      </c>
      <c r="D28" s="19"/>
    </row>
    <row r="29" spans="1:4">
      <c r="A29" s="12">
        <v>27</v>
      </c>
      <c r="B29" s="6" t="s">
        <v>128</v>
      </c>
      <c r="C29" s="15">
        <v>420</v>
      </c>
      <c r="D29" s="19"/>
    </row>
    <row r="30" spans="1:4">
      <c r="A30" s="12">
        <v>28</v>
      </c>
      <c r="B30" s="6" t="s">
        <v>129</v>
      </c>
      <c r="C30" s="15">
        <v>1200</v>
      </c>
      <c r="D30" s="19"/>
    </row>
    <row r="31" spans="1:4">
      <c r="A31" s="12">
        <v>29</v>
      </c>
      <c r="B31" s="6" t="s">
        <v>128</v>
      </c>
      <c r="C31" s="15">
        <v>420</v>
      </c>
      <c r="D31" s="19"/>
    </row>
    <row r="32" spans="1:4">
      <c r="A32" s="13">
        <v>30</v>
      </c>
      <c r="B32" s="9" t="s">
        <v>130</v>
      </c>
      <c r="C32" s="16">
        <v>180</v>
      </c>
      <c r="D32" s="20"/>
    </row>
    <row r="33" spans="3:3">
      <c r="C33" s="1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workbookViewId="0">
      <selection activeCell="B31" sqref="B31"/>
    </sheetView>
  </sheetViews>
  <sheetFormatPr defaultRowHeight="14.25"/>
  <cols>
    <col min="1" max="1" width="6" customWidth="1"/>
    <col min="2" max="2" width="30" customWidth="1"/>
    <col min="3" max="3" width="14" customWidth="1"/>
    <col min="4" max="4" width="10" customWidth="1"/>
  </cols>
  <sheetData>
    <row r="1" spans="1:4" ht="18">
      <c r="A1" s="25" t="s">
        <v>131</v>
      </c>
      <c r="B1" s="25"/>
      <c r="C1" s="25"/>
      <c r="D1" s="25"/>
    </row>
    <row r="2" spans="1:4" ht="15">
      <c r="A2" s="1" t="s">
        <v>3</v>
      </c>
      <c r="B2" s="1" t="s">
        <v>4</v>
      </c>
      <c r="C2" s="1" t="s">
        <v>5</v>
      </c>
      <c r="D2" s="1" t="s">
        <v>6</v>
      </c>
    </row>
    <row r="3" spans="1:4">
      <c r="A3" s="11">
        <v>1</v>
      </c>
      <c r="B3" s="3" t="s">
        <v>132</v>
      </c>
      <c r="C3" s="14">
        <v>390</v>
      </c>
      <c r="D3" s="18"/>
    </row>
    <row r="4" spans="1:4">
      <c r="A4" s="12">
        <v>2</v>
      </c>
      <c r="B4" s="6" t="s">
        <v>47</v>
      </c>
      <c r="C4" s="15">
        <v>220</v>
      </c>
      <c r="D4" s="19"/>
    </row>
    <row r="5" spans="1:4">
      <c r="A5" s="12">
        <v>3</v>
      </c>
      <c r="B5" s="6" t="s">
        <v>133</v>
      </c>
      <c r="C5" s="15">
        <v>30</v>
      </c>
      <c r="D5" s="19"/>
    </row>
    <row r="6" spans="1:4">
      <c r="A6" s="12">
        <v>4</v>
      </c>
      <c r="B6" s="6" t="s">
        <v>49</v>
      </c>
      <c r="C6" s="15">
        <v>15.5</v>
      </c>
      <c r="D6" s="19"/>
    </row>
    <row r="7" spans="1:4">
      <c r="A7" s="12">
        <v>5</v>
      </c>
      <c r="B7" s="6" t="s">
        <v>11</v>
      </c>
      <c r="C7" s="15">
        <v>6960</v>
      </c>
      <c r="D7" s="19"/>
    </row>
    <row r="8" spans="1:4">
      <c r="A8" s="12">
        <v>6</v>
      </c>
      <c r="B8" s="6" t="s">
        <v>134</v>
      </c>
      <c r="C8" s="15">
        <v>380</v>
      </c>
      <c r="D8" s="19"/>
    </row>
    <row r="9" spans="1:4">
      <c r="A9" s="12">
        <v>7</v>
      </c>
      <c r="B9" s="6" t="s">
        <v>32</v>
      </c>
      <c r="C9" s="15">
        <v>135</v>
      </c>
      <c r="D9" s="19"/>
    </row>
    <row r="10" spans="1:4">
      <c r="A10" s="12">
        <v>8</v>
      </c>
      <c r="B10" s="6" t="s">
        <v>56</v>
      </c>
      <c r="C10" s="15">
        <v>405</v>
      </c>
      <c r="D10" s="19"/>
    </row>
    <row r="11" spans="1:4">
      <c r="A11" s="12">
        <v>9</v>
      </c>
      <c r="B11" s="6" t="s">
        <v>83</v>
      </c>
      <c r="C11" s="15">
        <v>170</v>
      </c>
      <c r="D11" s="19"/>
    </row>
    <row r="12" spans="1:4">
      <c r="A12" s="12">
        <v>10</v>
      </c>
      <c r="B12" s="6" t="s">
        <v>135</v>
      </c>
      <c r="C12" s="15">
        <v>67</v>
      </c>
      <c r="D12" s="19"/>
    </row>
    <row r="13" spans="1:4">
      <c r="A13" s="12">
        <v>11</v>
      </c>
      <c r="B13" s="6" t="s">
        <v>57</v>
      </c>
      <c r="C13" s="15">
        <v>45</v>
      </c>
      <c r="D13" s="19"/>
    </row>
    <row r="14" spans="1:4">
      <c r="A14" s="12">
        <v>12</v>
      </c>
      <c r="B14" s="6" t="s">
        <v>136</v>
      </c>
      <c r="C14" s="15">
        <v>60</v>
      </c>
      <c r="D14" s="19"/>
    </row>
    <row r="15" spans="1:4">
      <c r="A15" s="12">
        <v>13</v>
      </c>
      <c r="B15" s="6" t="s">
        <v>137</v>
      </c>
      <c r="C15" s="15">
        <v>40</v>
      </c>
      <c r="D15" s="19"/>
    </row>
    <row r="16" spans="1:4">
      <c r="A16" s="12">
        <v>14</v>
      </c>
      <c r="B16" s="6" t="s">
        <v>138</v>
      </c>
      <c r="C16" s="15">
        <v>9</v>
      </c>
      <c r="D16" s="19"/>
    </row>
    <row r="17" spans="1:4">
      <c r="A17" s="12">
        <v>15</v>
      </c>
      <c r="B17" s="6" t="s">
        <v>139</v>
      </c>
      <c r="C17" s="15">
        <v>45</v>
      </c>
      <c r="D17" s="19"/>
    </row>
    <row r="18" spans="1:4">
      <c r="A18" s="12">
        <v>16</v>
      </c>
      <c r="B18" s="6" t="s">
        <v>105</v>
      </c>
      <c r="C18" s="15">
        <v>335</v>
      </c>
      <c r="D18" s="19"/>
    </row>
    <row r="19" spans="1:4">
      <c r="A19" s="12">
        <v>17</v>
      </c>
      <c r="B19" s="6" t="s">
        <v>140</v>
      </c>
      <c r="C19" s="15">
        <v>6.5</v>
      </c>
      <c r="D19" s="19"/>
    </row>
    <row r="20" spans="1:4">
      <c r="A20" s="12">
        <v>18</v>
      </c>
      <c r="B20" s="6" t="s">
        <v>141</v>
      </c>
      <c r="C20" s="15">
        <v>30</v>
      </c>
      <c r="D20" s="19"/>
    </row>
    <row r="21" spans="1:4">
      <c r="A21" s="12">
        <v>19</v>
      </c>
      <c r="B21" s="6" t="s">
        <v>142</v>
      </c>
      <c r="C21" s="15">
        <v>2000</v>
      </c>
      <c r="D21" s="19"/>
    </row>
    <row r="22" spans="1:4">
      <c r="A22" s="12">
        <v>20</v>
      </c>
      <c r="B22" s="6" t="s">
        <v>143</v>
      </c>
      <c r="C22" s="15">
        <v>1</v>
      </c>
      <c r="D22" s="19"/>
    </row>
    <row r="23" spans="1:4">
      <c r="A23" s="12">
        <v>21</v>
      </c>
      <c r="B23" s="6" t="s">
        <v>144</v>
      </c>
      <c r="C23" s="15">
        <v>25</v>
      </c>
      <c r="D23" s="19"/>
    </row>
    <row r="24" spans="1:4">
      <c r="A24" s="12">
        <v>22</v>
      </c>
      <c r="B24" s="6" t="s">
        <v>15</v>
      </c>
      <c r="C24" s="15">
        <v>1000</v>
      </c>
      <c r="D24" s="19"/>
    </row>
    <row r="25" spans="1:4">
      <c r="A25" s="12">
        <v>23</v>
      </c>
      <c r="B25" s="6" t="s">
        <v>28</v>
      </c>
      <c r="C25" s="15">
        <v>50</v>
      </c>
      <c r="D25" s="19"/>
    </row>
    <row r="26" spans="1:4">
      <c r="A26" s="12">
        <v>24</v>
      </c>
      <c r="B26" s="6" t="s">
        <v>81</v>
      </c>
      <c r="C26" s="15">
        <v>40</v>
      </c>
      <c r="D26" s="19"/>
    </row>
    <row r="27" spans="1:4">
      <c r="A27" s="12">
        <v>25</v>
      </c>
      <c r="B27" s="6" t="s">
        <v>145</v>
      </c>
      <c r="C27" s="15">
        <v>1170</v>
      </c>
      <c r="D27" s="19"/>
    </row>
    <row r="28" spans="1:4">
      <c r="A28" s="12">
        <v>26</v>
      </c>
      <c r="B28" s="6" t="s">
        <v>146</v>
      </c>
      <c r="C28" s="15">
        <v>6</v>
      </c>
      <c r="D28" s="19"/>
    </row>
    <row r="29" spans="1:4">
      <c r="A29" s="12">
        <v>27</v>
      </c>
      <c r="B29" s="6" t="s">
        <v>147</v>
      </c>
      <c r="C29" s="15">
        <v>100</v>
      </c>
      <c r="D29" s="19"/>
    </row>
    <row r="30" spans="1:4">
      <c r="A30" s="12">
        <v>28</v>
      </c>
      <c r="B30" s="6" t="s">
        <v>148</v>
      </c>
      <c r="C30" s="15">
        <v>180</v>
      </c>
      <c r="D30" s="19"/>
    </row>
    <row r="31" spans="1:4">
      <c r="A31" s="12">
        <v>29</v>
      </c>
      <c r="B31" s="6" t="s">
        <v>68</v>
      </c>
      <c r="C31" s="15">
        <v>1200</v>
      </c>
      <c r="D31" s="19"/>
    </row>
    <row r="32" spans="1:4">
      <c r="A32" s="13">
        <v>30</v>
      </c>
      <c r="B32" s="9" t="s">
        <v>38</v>
      </c>
      <c r="C32" s="16">
        <v>1000</v>
      </c>
      <c r="D32" s="20"/>
    </row>
    <row r="33" spans="3:3">
      <c r="C33" s="17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Костанай</vt:lpstr>
      <vt:lpstr>Павлодар</vt:lpstr>
      <vt:lpstr>Кокшетау</vt:lpstr>
      <vt:lpstr>Державинск</vt:lpstr>
      <vt:lpstr>Петропавловск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 Er</cp:lastModifiedBy>
  <dcterms:modified xsi:type="dcterms:W3CDTF">2026-07-03T05:49:45Z</dcterms:modified>
</cp:coreProperties>
</file>